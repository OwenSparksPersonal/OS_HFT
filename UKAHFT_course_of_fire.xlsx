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of fire" sheetId="1" state="visible" r:id="rId1"/>
    <sheet name="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mm&quot;"/>
    <numFmt numFmtId="165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b val="1"/>
    </font>
    <font>
      <name val="Arial"/>
      <color rgb="00595959"/>
      <sz val="10"/>
    </font>
    <font>
      <name val="Arial"/>
      <b val="1"/>
      <sz val="13"/>
    </font>
    <font>
      <name val="Arial"/>
      <color rgb="000000FF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4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165" fontId="7" fillId="0" borderId="0" pivotButton="0" quotePrefix="0" xfId="0"/>
    <xf numFmtId="0" fontId="9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81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38100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381000" cy="381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381000" cy="381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381000" cy="381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381000" cy="381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381000" cy="381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381000" cy="381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381000" cy="381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381000" cy="381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381000" cy="381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381000" cy="381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381000" cy="381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381000" cy="381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381000" cy="381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381000" cy="381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381000" cy="381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381000" cy="381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381000" cy="381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381000" cy="381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381000" cy="381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381000" cy="381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381000" cy="381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381000" cy="381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381000" cy="381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381000" cy="381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381000" cy="381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381000" cy="381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381000" cy="381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381000" cy="381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13" customWidth="1" min="4" max="4"/>
    <col width="13" customWidth="1" min="5" max="5"/>
    <col width="14" customWidth="1" min="6" max="6"/>
    <col width="70" customWidth="1" min="8" max="8"/>
  </cols>
  <sheetData>
    <row r="1" ht="24" customHeight="1">
      <c r="A1" s="1" t="inlineStr">
        <is>
          <t>Shot</t>
        </is>
      </c>
      <c r="B1" s="1" t="inlineStr">
        <is>
          <t>Icon</t>
        </is>
      </c>
      <c r="C1" s="2" t="inlineStr">
        <is>
          <t>Position</t>
        </is>
      </c>
      <c r="D1" s="3" t="inlineStr">
        <is>
          <t>Range (yd)</t>
        </is>
      </c>
      <c r="E1" s="3" t="inlineStr">
        <is>
          <t>Range (m)</t>
        </is>
      </c>
      <c r="F1" s="1" t="inlineStr">
        <is>
          <t>Target type</t>
        </is>
      </c>
      <c r="H1" s="4" t="inlineStr">
        <is>
          <t>Notes</t>
        </is>
      </c>
    </row>
    <row r="2" ht="42" customHeight="1">
      <c r="A2" s="5" t="n">
        <v>1</v>
      </c>
      <c r="B2" s="6" t="n"/>
      <c r="C2" s="7" t="inlineStr">
        <is>
          <t>Prone</t>
        </is>
      </c>
      <c r="D2" s="8" t="n">
        <v>14</v>
      </c>
      <c r="E2" s="9">
        <f>ROUND(D2*Checks!$B$3,2)</f>
        <v/>
      </c>
      <c r="F2" s="10" t="n">
        <v>45</v>
      </c>
      <c r="H2" s="11" t="inlineStr">
        <is>
          <t>Blue text = input values (position, range, hit zone size).</t>
        </is>
      </c>
    </row>
    <row r="3" ht="42" customHeight="1">
      <c r="A3" s="5" t="n">
        <v>2</v>
      </c>
      <c r="B3" s="6" t="n"/>
      <c r="C3" s="7" t="inlineStr">
        <is>
          <t>Prone</t>
        </is>
      </c>
      <c r="D3" s="8" t="n">
        <v>15</v>
      </c>
      <c r="E3" s="9">
        <f>ROUND(D3*Checks!$B$3,2)</f>
        <v/>
      </c>
      <c r="F3" s="10" t="n">
        <v>17</v>
      </c>
      <c r="H3" s="11" t="inlineStr">
        <is>
          <t>Range (m) is calculated from yards using the factor on the Checks sheet.</t>
        </is>
      </c>
    </row>
    <row r="4" ht="42" customHeight="1">
      <c r="A4" s="5" t="n">
        <v>3</v>
      </c>
      <c r="B4" s="6" t="n"/>
      <c r="C4" s="7" t="inlineStr">
        <is>
          <t>Prone</t>
        </is>
      </c>
      <c r="D4" s="8" t="n">
        <v>30</v>
      </c>
      <c r="E4" s="9">
        <f>ROUND(D4*Checks!$B$3,2)</f>
        <v/>
      </c>
      <c r="F4" s="10" t="n">
        <v>28</v>
      </c>
      <c r="H4" s="11" t="inlineStr">
        <is>
          <t>Icon colours: black = unsupported/prone, blue = supported, amber = prone only.</t>
        </is>
      </c>
    </row>
    <row r="5" ht="42" customHeight="1">
      <c r="A5" s="5" t="n">
        <v>4</v>
      </c>
      <c r="B5" s="6" t="n"/>
      <c r="C5" s="7" t="inlineStr">
        <is>
          <t>Prone</t>
        </is>
      </c>
      <c r="D5" s="8" t="n">
        <v>36</v>
      </c>
      <c r="E5" s="9">
        <f>ROUND(D5*Checks!$B$3,2)</f>
        <v/>
      </c>
      <c r="F5" s="10" t="n">
        <v>30</v>
      </c>
      <c r="H5" s="11" t="inlineStr">
        <is>
          <t>Source: UKAHFT Rules and Course Setting Guidelines, REV 01.2 (28.05.2020).</t>
        </is>
      </c>
    </row>
    <row r="6" ht="42" customHeight="1">
      <c r="A6" s="5" t="n">
        <v>5</v>
      </c>
      <c r="B6" s="6" t="n"/>
      <c r="C6" s="7" t="inlineStr">
        <is>
          <t>Unsupported standing</t>
        </is>
      </c>
      <c r="D6" s="8" t="n">
        <v>18</v>
      </c>
      <c r="E6" s="9">
        <f>ROUND(D6*Checks!$B$3,2)</f>
        <v/>
      </c>
      <c r="F6" s="10" t="n">
        <v>38</v>
      </c>
      <c r="H6" s="11" t="inlineStr">
        <is>
          <t>Prone targets need 10mm minimum faceplate; positional targets 20mm.</t>
        </is>
      </c>
    </row>
    <row r="7" ht="42" customHeight="1">
      <c r="A7" s="5" t="n">
        <v>6</v>
      </c>
      <c r="B7" s="6" t="n"/>
      <c r="C7" s="7" t="inlineStr">
        <is>
          <t>Prone</t>
        </is>
      </c>
      <c r="D7" s="8" t="n">
        <v>26</v>
      </c>
      <c r="E7" s="9">
        <f>ROUND(D7*Checks!$B$3,2)</f>
        <v/>
      </c>
      <c r="F7" s="10" t="n">
        <v>35</v>
      </c>
    </row>
    <row r="8" ht="42" customHeight="1">
      <c r="A8" s="5" t="n">
        <v>7</v>
      </c>
      <c r="B8" s="6" t="n"/>
      <c r="C8" s="7" t="inlineStr">
        <is>
          <t>Prone only</t>
        </is>
      </c>
      <c r="D8" s="8" t="n">
        <v>18</v>
      </c>
      <c r="E8" s="9">
        <f>ROUND(D8*Checks!$B$3,2)</f>
        <v/>
      </c>
      <c r="F8" s="10" t="n">
        <v>19</v>
      </c>
    </row>
    <row r="9" ht="42" customHeight="1">
      <c r="A9" s="5" t="n">
        <v>8</v>
      </c>
      <c r="B9" s="6" t="n"/>
      <c r="C9" s="7" t="inlineStr">
        <is>
          <t>Prone</t>
        </is>
      </c>
      <c r="D9" s="8" t="n">
        <v>12</v>
      </c>
      <c r="E9" s="9">
        <f>ROUND(D9*Checks!$B$3,2)</f>
        <v/>
      </c>
      <c r="F9" s="10" t="n">
        <v>22</v>
      </c>
    </row>
    <row r="10" ht="42" customHeight="1">
      <c r="A10" s="5" t="n">
        <v>9</v>
      </c>
      <c r="B10" s="6" t="n"/>
      <c r="C10" s="7" t="inlineStr">
        <is>
          <t>Supported standing</t>
        </is>
      </c>
      <c r="D10" s="8" t="n">
        <v>22</v>
      </c>
      <c r="E10" s="9">
        <f>ROUND(D10*Checks!$B$3,2)</f>
        <v/>
      </c>
      <c r="F10" s="10" t="n">
        <v>30</v>
      </c>
    </row>
    <row r="11" ht="42" customHeight="1">
      <c r="A11" s="5" t="n">
        <v>10</v>
      </c>
      <c r="B11" s="6" t="n"/>
      <c r="C11" s="7" t="inlineStr">
        <is>
          <t>Prone</t>
        </is>
      </c>
      <c r="D11" s="8" t="n">
        <v>42</v>
      </c>
      <c r="E11" s="9">
        <f>ROUND(D11*Checks!$B$3,2)</f>
        <v/>
      </c>
      <c r="F11" s="10" t="n">
        <v>36</v>
      </c>
    </row>
    <row r="12" ht="42" customHeight="1">
      <c r="A12" s="5" t="n">
        <v>11</v>
      </c>
      <c r="B12" s="6" t="n"/>
      <c r="C12" s="7" t="inlineStr">
        <is>
          <t>Prone</t>
        </is>
      </c>
      <c r="D12" s="8" t="n">
        <v>16</v>
      </c>
      <c r="E12" s="9">
        <f>ROUND(D12*Checks!$B$3,2)</f>
        <v/>
      </c>
      <c r="F12" s="10" t="n">
        <v>30</v>
      </c>
    </row>
    <row r="13" ht="42" customHeight="1">
      <c r="A13" s="5" t="n">
        <v>12</v>
      </c>
      <c r="B13" s="6" t="n"/>
      <c r="C13" s="7" t="inlineStr">
        <is>
          <t>Prone</t>
        </is>
      </c>
      <c r="D13" s="8" t="n">
        <v>25</v>
      </c>
      <c r="E13" s="9">
        <f>ROUND(D13*Checks!$B$3,2)</f>
        <v/>
      </c>
      <c r="F13" s="10" t="n">
        <v>15</v>
      </c>
    </row>
    <row r="14" ht="42" customHeight="1">
      <c r="A14" s="5" t="n">
        <v>13</v>
      </c>
      <c r="B14" s="6" t="n"/>
      <c r="C14" s="7" t="inlineStr">
        <is>
          <t>Supported standing</t>
        </is>
      </c>
      <c r="D14" s="8" t="n">
        <v>28</v>
      </c>
      <c r="E14" s="9">
        <f>ROUND(D14*Checks!$B$3,2)</f>
        <v/>
      </c>
      <c r="F14" s="10" t="n">
        <v>40</v>
      </c>
    </row>
    <row r="15" ht="42" customHeight="1">
      <c r="A15" s="5" t="n">
        <v>14</v>
      </c>
      <c r="B15" s="6" t="n"/>
      <c r="C15" s="7" t="inlineStr">
        <is>
          <t>Prone</t>
        </is>
      </c>
      <c r="D15" s="8" t="n">
        <v>39</v>
      </c>
      <c r="E15" s="9">
        <f>ROUND(D15*Checks!$B$3,2)</f>
        <v/>
      </c>
      <c r="F15" s="10" t="n">
        <v>34</v>
      </c>
    </row>
    <row r="16" ht="42" customHeight="1">
      <c r="A16" s="5" t="n">
        <v>15</v>
      </c>
      <c r="B16" s="6" t="n"/>
      <c r="C16" s="7" t="inlineStr">
        <is>
          <t>Prone</t>
        </is>
      </c>
      <c r="D16" s="8" t="n">
        <v>10</v>
      </c>
      <c r="E16" s="9">
        <f>ROUND(D16*Checks!$B$3,2)</f>
        <v/>
      </c>
      <c r="F16" s="10" t="n">
        <v>40</v>
      </c>
    </row>
    <row r="17" ht="42" customHeight="1">
      <c r="A17" s="5" t="n">
        <v>16</v>
      </c>
      <c r="B17" s="6" t="n"/>
      <c r="C17" s="7" t="inlineStr">
        <is>
          <t>Prone only</t>
        </is>
      </c>
      <c r="D17" s="8" t="n">
        <v>38</v>
      </c>
      <c r="E17" s="9">
        <f>ROUND(D17*Checks!$B$3,2)</f>
        <v/>
      </c>
      <c r="F17" s="10" t="n">
        <v>28</v>
      </c>
    </row>
    <row r="18" ht="42" customHeight="1">
      <c r="A18" s="5" t="n">
        <v>17</v>
      </c>
      <c r="B18" s="6" t="n"/>
      <c r="C18" s="7" t="inlineStr">
        <is>
          <t>Prone</t>
        </is>
      </c>
      <c r="D18" s="8" t="n">
        <v>24</v>
      </c>
      <c r="E18" s="9">
        <f>ROUND(D18*Checks!$B$3,2)</f>
        <v/>
      </c>
      <c r="F18" s="10" t="n">
        <v>26</v>
      </c>
    </row>
    <row r="19" ht="42" customHeight="1">
      <c r="A19" s="5" t="n">
        <v>18</v>
      </c>
      <c r="B19" s="6" t="n"/>
      <c r="C19" s="7" t="inlineStr">
        <is>
          <t>Unsupported kneeling</t>
        </is>
      </c>
      <c r="D19" s="8" t="n">
        <v>15</v>
      </c>
      <c r="E19" s="9">
        <f>ROUND(D19*Checks!$B$3,2)</f>
        <v/>
      </c>
      <c r="F19" s="10" t="n">
        <v>40</v>
      </c>
    </row>
    <row r="20" ht="42" customHeight="1">
      <c r="A20" s="5" t="n">
        <v>19</v>
      </c>
      <c r="B20" s="6" t="n"/>
      <c r="C20" s="7" t="inlineStr">
        <is>
          <t>Prone</t>
        </is>
      </c>
      <c r="D20" s="8" t="n">
        <v>20</v>
      </c>
      <c r="E20" s="9">
        <f>ROUND(D20*Checks!$B$3,2)</f>
        <v/>
      </c>
      <c r="F20" s="10" t="n">
        <v>16</v>
      </c>
    </row>
    <row r="21" ht="42" customHeight="1">
      <c r="A21" s="5" t="n">
        <v>20</v>
      </c>
      <c r="B21" s="6" t="n"/>
      <c r="C21" s="7" t="inlineStr">
        <is>
          <t>Prone</t>
        </is>
      </c>
      <c r="D21" s="8" t="n">
        <v>32</v>
      </c>
      <c r="E21" s="9">
        <f>ROUND(D21*Checks!$B$3,2)</f>
        <v/>
      </c>
      <c r="F21" s="10" t="n">
        <v>42</v>
      </c>
    </row>
    <row r="22" ht="42" customHeight="1">
      <c r="A22" s="5" t="n">
        <v>21</v>
      </c>
      <c r="B22" s="6" t="n"/>
      <c r="C22" s="7" t="inlineStr">
        <is>
          <t>Prone</t>
        </is>
      </c>
      <c r="D22" s="8" t="n">
        <v>40</v>
      </c>
      <c r="E22" s="9">
        <f>ROUND(D22*Checks!$B$3,2)</f>
        <v/>
      </c>
      <c r="F22" s="10" t="n">
        <v>25</v>
      </c>
    </row>
    <row r="23" ht="42" customHeight="1">
      <c r="A23" s="5" t="n">
        <v>22</v>
      </c>
      <c r="B23" s="6" t="n"/>
      <c r="C23" s="7" t="inlineStr">
        <is>
          <t>Supported kneeling</t>
        </is>
      </c>
      <c r="D23" s="8" t="n">
        <v>18</v>
      </c>
      <c r="E23" s="9">
        <f>ROUND(D23*Checks!$B$3,2)</f>
        <v/>
      </c>
      <c r="F23" s="10" t="n">
        <v>26</v>
      </c>
    </row>
    <row r="24" ht="42" customHeight="1">
      <c r="A24" s="5" t="n">
        <v>23</v>
      </c>
      <c r="B24" s="6" t="n"/>
      <c r="C24" s="7" t="inlineStr">
        <is>
          <t>Prone</t>
        </is>
      </c>
      <c r="D24" s="8" t="n">
        <v>28</v>
      </c>
      <c r="E24" s="9">
        <f>ROUND(D24*Checks!$B$3,2)</f>
        <v/>
      </c>
      <c r="F24" s="10" t="n">
        <v>20</v>
      </c>
    </row>
    <row r="25" ht="42" customHeight="1">
      <c r="A25" s="5" t="n">
        <v>24</v>
      </c>
      <c r="B25" s="6" t="n"/>
      <c r="C25" s="7" t="inlineStr">
        <is>
          <t>Prone</t>
        </is>
      </c>
      <c r="D25" s="8" t="n">
        <v>44</v>
      </c>
      <c r="E25" s="9">
        <f>ROUND(D25*Checks!$B$3,2)</f>
        <v/>
      </c>
      <c r="F25" s="10" t="n">
        <v>40</v>
      </c>
    </row>
    <row r="26" ht="42" customHeight="1">
      <c r="A26" s="5" t="n">
        <v>25</v>
      </c>
      <c r="B26" s="6" t="n"/>
      <c r="C26" s="7" t="inlineStr">
        <is>
          <t>Prone</t>
        </is>
      </c>
      <c r="D26" s="8" t="n">
        <v>35</v>
      </c>
      <c r="E26" s="9">
        <f>ROUND(D26*Checks!$B$3,2)</f>
        <v/>
      </c>
      <c r="F26" s="10" t="n">
        <v>25</v>
      </c>
    </row>
    <row r="27" ht="42" customHeight="1">
      <c r="A27" s="5" t="n">
        <v>26</v>
      </c>
      <c r="B27" s="6" t="n"/>
      <c r="C27" s="7" t="inlineStr">
        <is>
          <t>Prone</t>
        </is>
      </c>
      <c r="D27" s="8" t="n">
        <v>20</v>
      </c>
      <c r="E27" s="9">
        <f>ROUND(D27*Checks!$B$3,2)</f>
        <v/>
      </c>
      <c r="F27" s="10" t="n">
        <v>38</v>
      </c>
    </row>
    <row r="28" ht="42" customHeight="1">
      <c r="A28" s="5" t="n">
        <v>27</v>
      </c>
      <c r="B28" s="6" t="n"/>
      <c r="C28" s="7" t="inlineStr">
        <is>
          <t>Supported kneeling</t>
        </is>
      </c>
      <c r="D28" s="8" t="n">
        <v>30</v>
      </c>
      <c r="E28" s="9">
        <f>ROUND(D28*Checks!$B$3,2)</f>
        <v/>
      </c>
      <c r="F28" s="10" t="n">
        <v>38</v>
      </c>
    </row>
    <row r="29" ht="42" customHeight="1">
      <c r="A29" s="5" t="n">
        <v>28</v>
      </c>
      <c r="B29" s="6" t="n"/>
      <c r="C29" s="7" t="inlineStr">
        <is>
          <t>Prone</t>
        </is>
      </c>
      <c r="D29" s="8" t="n">
        <v>22</v>
      </c>
      <c r="E29" s="9">
        <f>ROUND(D29*Checks!$B$3,2)</f>
        <v/>
      </c>
      <c r="F29" s="10" t="n">
        <v>18</v>
      </c>
    </row>
    <row r="30" ht="42" customHeight="1">
      <c r="A30" s="5" t="n">
        <v>29</v>
      </c>
      <c r="B30" s="6" t="n"/>
      <c r="C30" s="7" t="inlineStr">
        <is>
          <t>Prone only</t>
        </is>
      </c>
      <c r="D30" s="8" t="n">
        <v>34</v>
      </c>
      <c r="E30" s="9">
        <f>ROUND(D30*Checks!$B$3,2)</f>
        <v/>
      </c>
      <c r="F30" s="10" t="n">
        <v>45</v>
      </c>
    </row>
    <row r="31" ht="42" customHeight="1">
      <c r="A31" s="5" t="n">
        <v>30</v>
      </c>
      <c r="B31" s="6" t="n"/>
      <c r="C31" s="7" t="inlineStr">
        <is>
          <t>Prone</t>
        </is>
      </c>
      <c r="D31" s="8" t="n">
        <v>45</v>
      </c>
      <c r="E31" s="9">
        <f>ROUND(D31*Checks!$B$3,2)</f>
        <v/>
      </c>
      <c r="F31" s="10" t="n">
        <v>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2" t="inlineStr">
        <is>
          <t>Rule compliance checks</t>
        </is>
      </c>
    </row>
    <row r="3">
      <c r="A3" s="13" t="inlineStr">
        <is>
          <t>Yards to metres factor</t>
        </is>
      </c>
      <c r="B3" s="14" t="n">
        <v>0.9144</v>
      </c>
      <c r="C3" s="11" t="inlineStr">
        <is>
          <t>Standard definition: 1 yd = 0.9144 m</t>
        </is>
      </c>
    </row>
    <row r="5">
      <c r="A5" s="15" t="inlineStr">
        <is>
          <t>Check</t>
        </is>
      </c>
      <c r="B5" s="16" t="inlineStr">
        <is>
          <t>Min</t>
        </is>
      </c>
      <c r="C5" s="16" t="inlineStr">
        <is>
          <t>Max</t>
        </is>
      </c>
      <c r="D5" s="16" t="inlineStr">
        <is>
          <t>Actual</t>
        </is>
      </c>
      <c r="E5" s="16" t="inlineStr">
        <is>
          <t>Result</t>
        </is>
      </c>
    </row>
    <row r="6">
      <c r="A6" s="13" t="inlineStr">
        <is>
          <t>Total shots</t>
        </is>
      </c>
      <c r="B6" s="17" t="n">
        <v>30</v>
      </c>
      <c r="C6" s="17" t="n">
        <v>30</v>
      </c>
      <c r="D6" s="18">
        <f>COUNTA('Course of fire'!$C$2:$C$31)</f>
        <v/>
      </c>
      <c r="E6" s="19">
        <f>IF(AND(D6&gt;=B6,D6&lt;=C6),"OK","CHECK")</f>
        <v/>
      </c>
    </row>
    <row r="7">
      <c r="A7" s="13" t="inlineStr">
        <is>
          <t>Prone shots (incl. Prone only)</t>
        </is>
      </c>
      <c r="B7" s="17" t="n">
        <v>24</v>
      </c>
      <c r="C7" s="17" t="n">
        <v>24</v>
      </c>
      <c r="D7" s="18">
        <f>SUMPRODUCT((('Course of fire'!$C$2:$C$31="Prone")+('Course of fire'!$C$2:$C$31="Prone only")))</f>
        <v/>
      </c>
      <c r="E7" s="19">
        <f>IF(AND(D7&gt;=B7,D7&lt;=C7),"OK","CHECK")</f>
        <v/>
      </c>
    </row>
    <row r="8">
      <c r="A8" s="13" t="inlineStr">
        <is>
          <t>Prone only shots</t>
        </is>
      </c>
      <c r="B8" s="17" t="n">
        <v>3</v>
      </c>
      <c r="C8" s="17" t="n">
        <v>3</v>
      </c>
      <c r="D8" s="18">
        <f>COUNTIF('Course of fire'!$C$2:$C$31,"Prone only")</f>
        <v/>
      </c>
      <c r="E8" s="19">
        <f>IF(AND(D8&gt;=B8,D8&lt;=C8),"OK","CHECK")</f>
        <v/>
      </c>
    </row>
    <row r="9">
      <c r="A9" s="13" t="inlineStr">
        <is>
          <t>Prone: 15-19mm at 13-25 yd</t>
        </is>
      </c>
      <c r="B9" s="17" t="n">
        <v>4</v>
      </c>
      <c r="C9" s="17" t="n">
        <v>6</v>
      </c>
      <c r="D9" s="18">
        <f>SUMPRODUCT((('Course of fire'!$C$2:$C$31="Prone")+('Course of fire'!$C$2:$C$31="Prone only"))*('Course of fire'!$F$2:$F$31&gt;=15)*('Course of fire'!$F$2:$F$31&lt;=19)*('Course of fire'!$D$2:$D$31&gt;=13)*('Course of fire'!$D$2:$D$31&lt;=25))</f>
        <v/>
      </c>
      <c r="E9" s="19">
        <f>IF(AND(D9&gt;=B9,D9&lt;=C9),"OK","CHECK")</f>
        <v/>
      </c>
    </row>
    <row r="10">
      <c r="A10" s="13" t="inlineStr">
        <is>
          <t>Prone: 20-24mm at 8-30 yd</t>
        </is>
      </c>
      <c r="B10" s="17" t="n">
        <v>2</v>
      </c>
      <c r="C10" s="17" t="n">
        <v>3</v>
      </c>
      <c r="D10" s="18">
        <f>SUMPRODUCT((('Course of fire'!$C$2:$C$31="Prone")+('Course of fire'!$C$2:$C$31="Prone only"))*('Course of fire'!$F$2:$F$31&gt;=20)*('Course of fire'!$F$2:$F$31&lt;=24)*('Course of fire'!$D$2:$D$31&gt;=8)*('Course of fire'!$D$2:$D$31&lt;=30))</f>
        <v/>
      </c>
      <c r="E10" s="19">
        <f>IF(AND(D10&gt;=B10,D10&lt;=C10),"OK","CHECK")</f>
        <v/>
      </c>
    </row>
    <row r="11">
      <c r="A11" s="13" t="inlineStr">
        <is>
          <t>Prone: 25-34mm at 8-35 yd</t>
        </is>
      </c>
      <c r="B11" s="17" t="n">
        <v>4</v>
      </c>
      <c r="C11" s="17" t="n">
        <v>4</v>
      </c>
      <c r="D11" s="18">
        <f>SUMPRODUCT((('Course of fire'!$C$2:$C$31="Prone")+('Course of fire'!$C$2:$C$31="Prone only"))*('Course of fire'!$F$2:$F$31&gt;=25)*('Course of fire'!$F$2:$F$31&lt;=34)*('Course of fire'!$D$2:$D$31&gt;=8)*('Course of fire'!$D$2:$D$31&lt;=35))</f>
        <v/>
      </c>
      <c r="E11" s="19">
        <f>IF(AND(D11&gt;=B11,D11&lt;=C11),"OK","CHECK")</f>
        <v/>
      </c>
    </row>
    <row r="12">
      <c r="A12" s="13" t="inlineStr">
        <is>
          <t>Prone: 25-34mm at 35.01-40 yd</t>
        </is>
      </c>
      <c r="B12" s="17" t="n">
        <v>3</v>
      </c>
      <c r="C12" s="17" t="n">
        <v>4</v>
      </c>
      <c r="D12" s="18">
        <f>SUMPRODUCT((('Course of fire'!$C$2:$C$31="Prone")+('Course of fire'!$C$2:$C$31="Prone only"))*('Course of fire'!$F$2:$F$31&gt;=25)*('Course of fire'!$F$2:$F$31&lt;=34)*('Course of fire'!$D$2:$D$31&gt;35)*('Course of fire'!$D$2:$D$31&lt;=40))</f>
        <v/>
      </c>
      <c r="E12" s="19">
        <f>IF(AND(D12&gt;=B12,D12&lt;=C12),"OK","CHECK")</f>
        <v/>
      </c>
    </row>
    <row r="13">
      <c r="A13" s="13" t="inlineStr">
        <is>
          <t>Prone: 35-45mm at 8-45 yd</t>
        </is>
      </c>
      <c r="B13" s="17" t="n">
        <v>0</v>
      </c>
      <c r="C13" s="17" t="n">
        <v>24</v>
      </c>
      <c r="D13" s="18">
        <f>SUMPRODUCT((('Course of fire'!$C$2:$C$31="Prone")+('Course of fire'!$C$2:$C$31="Prone only"))*('Course of fire'!$F$2:$F$31&gt;=35)*('Course of fire'!$F$2:$F$31&lt;=45)*('Course of fire'!$D$2:$D$31&gt;=8)*('Course of fire'!$D$2:$D$31&lt;=45))</f>
        <v/>
      </c>
      <c r="E13" s="19">
        <f>IF(AND(D13&gt;=B13,D13&lt;=C13),"OK","CHECK")</f>
        <v/>
      </c>
    </row>
    <row r="14">
      <c r="A14" s="13" t="inlineStr">
        <is>
          <t>Prone: every prone shot fits a band above</t>
        </is>
      </c>
      <c r="B14" s="17" t="n">
        <v>24</v>
      </c>
      <c r="C14" s="17" t="n">
        <v>24</v>
      </c>
      <c r="D14" s="18">
        <f>D9+D10+D11+D12+D13</f>
        <v/>
      </c>
      <c r="E14" s="19">
        <f>IF(AND(D14&gt;=B14,D14&lt;=C14),"OK","CHECK")</f>
        <v/>
      </c>
    </row>
    <row r="15">
      <c r="A15" s="13" t="inlineStr">
        <is>
          <t>Table 1A: 20-24mm + 25-34mm at 35.01-40 yd</t>
        </is>
      </c>
      <c r="B15" s="17" t="n">
        <v>6</v>
      </c>
      <c r="C15" s="17" t="n">
        <v>6</v>
      </c>
      <c r="D15" s="18">
        <f>D10+D12</f>
        <v/>
      </c>
      <c r="E15" s="19">
        <f>IF(AND(D15&gt;=B15,D15&lt;=C15),"OK","CHECK")</f>
        <v/>
      </c>
    </row>
    <row r="16">
      <c r="A16" s="13" t="inlineStr">
        <is>
          <t>Unsupported standing: 35-45mm at 8-35 yd</t>
        </is>
      </c>
      <c r="B16" s="17" t="n">
        <v>1</v>
      </c>
      <c r="C16" s="17" t="n">
        <v>1</v>
      </c>
      <c r="D16" s="18">
        <f>SUMPRODUCT(('Course of fire'!$C$2:$C$31="Unsupported standing")*('Course of fire'!$F$2:$F$31&gt;=35)*('Course of fire'!$F$2:$F$31&lt;=45)*('Course of fire'!$D$2:$D$31&gt;=8)*('Course of fire'!$D$2:$D$31&lt;=35))</f>
        <v/>
      </c>
      <c r="E16" s="19">
        <f>IF(AND(D16&gt;=B16,D16&lt;=C16),"OK","CHECK")</f>
        <v/>
      </c>
    </row>
    <row r="17">
      <c r="A17" s="13" t="inlineStr">
        <is>
          <t>Unsupported kneeling: 35-45mm at 8-35 yd</t>
        </is>
      </c>
      <c r="B17" s="17" t="n">
        <v>1</v>
      </c>
      <c r="C17" s="17" t="n">
        <v>1</v>
      </c>
      <c r="D17" s="18">
        <f>SUMPRODUCT(('Course of fire'!$C$2:$C$31="Unsupported kneeling")*('Course of fire'!$F$2:$F$31&gt;=35)*('Course of fire'!$F$2:$F$31&lt;=45)*('Course of fire'!$D$2:$D$31&gt;=8)*('Course of fire'!$D$2:$D$31&lt;=35))</f>
        <v/>
      </c>
      <c r="E17" s="19">
        <f>IF(AND(D17&gt;=B17,D17&lt;=C17),"OK","CHECK")</f>
        <v/>
      </c>
    </row>
    <row r="18">
      <c r="A18" s="13" t="inlineStr">
        <is>
          <t>Supported standing: valid targets</t>
        </is>
      </c>
      <c r="B18" s="17" t="n">
        <v>2</v>
      </c>
      <c r="C18" s="17" t="n">
        <v>2</v>
      </c>
      <c r="D18" s="18">
        <f>SUMPRODUCT(('Course of fire'!$C$2:$C$31="Supported standing")*((('Course of fire'!$F$2:$F$31&gt;=25)*('Course of fire'!$F$2:$F$31&lt;=34)*('Course of fire'!$D$2:$D$31&gt;=8)*('Course of fire'!$D$2:$D$31&lt;=30))+(('Course of fire'!$F$2:$F$31&gt;=35)*('Course of fire'!$F$2:$F$31&lt;=45)*('Course of fire'!$D$2:$D$31&gt;=8)*('Course of fire'!$D$2:$D$31&lt;=35))))</f>
        <v/>
      </c>
      <c r="E18" s="19">
        <f>IF(AND(D18&gt;=B18,D18&lt;=C18),"OK","CHECK")</f>
        <v/>
      </c>
    </row>
    <row r="19">
      <c r="A19" s="13" t="inlineStr">
        <is>
          <t>Supported kneeling: 25-34mm at 8-30 yd</t>
        </is>
      </c>
      <c r="B19" s="17" t="n">
        <v>1</v>
      </c>
      <c r="C19" s="17" t="n">
        <v>1</v>
      </c>
      <c r="D19" s="18">
        <f>SUMPRODUCT(('Course of fire'!$C$2:$C$31="Supported kneeling")*('Course of fire'!$F$2:$F$31&gt;=25)*('Course of fire'!$F$2:$F$31&lt;=34)*('Course of fire'!$D$2:$D$31&gt;=8)*('Course of fire'!$D$2:$D$31&lt;=30))</f>
        <v/>
      </c>
      <c r="E19" s="19">
        <f>IF(AND(D19&gt;=B19,D19&lt;=C19),"OK","CHECK")</f>
        <v/>
      </c>
    </row>
    <row r="20">
      <c r="A20" s="13" t="inlineStr">
        <is>
          <t>Supported kneeling: 35-45mm at 8-35 yd</t>
        </is>
      </c>
      <c r="B20" s="17" t="n">
        <v>1</v>
      </c>
      <c r="C20" s="17" t="n">
        <v>1</v>
      </c>
      <c r="D20" s="18">
        <f>SUMPRODUCT(('Course of fire'!$C$2:$C$31="Supported kneeling")*('Course of fire'!$F$2:$F$31&gt;=35)*('Course of fire'!$F$2:$F$31&lt;=45)*('Course of fire'!$D$2:$D$31&gt;=8)*('Course of fire'!$D$2:$D$31&lt;=35))</f>
        <v/>
      </c>
      <c r="E20" s="19">
        <f>IF(AND(D20&gt;=B20,D20&lt;=C20),"OK","CHECK")</f>
        <v/>
      </c>
    </row>
    <row r="22">
      <c r="A22" s="11" t="inlineStr">
        <is>
          <t>Prone band counts use Table 1/1A (Option 1: 2 x 20-24mm + 4 far 25-34mm, or Option 2: 3 + 3). Supported kneeling uses Table 3 Option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2026-10-01T09:22:14Z</dcterms:created>
  <dcterms:modified xsi:type="dcterms:W3CDTF">2026-10-01T09:22:14Z</dcterms:modified>
</cp:coreProperties>
</file>